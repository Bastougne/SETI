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eta\Documents\ECE\ING5\Parcours C\C4 - Programmation parallèle des GPU et FPGA\TP\El Ouardi\"/>
    </mc:Choice>
  </mc:AlternateContent>
  <xr:revisionPtr revIDLastSave="0" documentId="13_ncr:1_{A03AF572-709C-4355-A905-B2A9D1C9D9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Q5" i="1"/>
  <c r="Q6" i="1"/>
  <c r="Q7" i="1"/>
  <c r="Q8" i="1"/>
  <c r="Q9" i="1"/>
  <c r="Q10" i="1"/>
  <c r="Q11" i="1"/>
  <c r="Q12" i="1"/>
  <c r="Q13" i="1"/>
  <c r="Q14" i="1"/>
  <c r="Q3" i="1"/>
  <c r="P4" i="1"/>
  <c r="P5" i="1"/>
  <c r="P6" i="1"/>
  <c r="P7" i="1"/>
  <c r="P8" i="1"/>
  <c r="P9" i="1"/>
  <c r="P10" i="1"/>
  <c r="P11" i="1"/>
  <c r="P12" i="1"/>
  <c r="P13" i="1"/>
  <c r="P14" i="1"/>
  <c r="P3" i="1"/>
  <c r="O4" i="1"/>
  <c r="O5" i="1"/>
  <c r="O6" i="1"/>
  <c r="O7" i="1"/>
  <c r="O8" i="1"/>
  <c r="O9" i="1"/>
  <c r="O10" i="1"/>
  <c r="O11" i="1"/>
  <c r="O12" i="1"/>
  <c r="O13" i="1"/>
  <c r="O14" i="1"/>
  <c r="O3" i="1"/>
  <c r="I26" i="1"/>
  <c r="I27" i="1"/>
  <c r="I28" i="1"/>
  <c r="I29" i="1"/>
  <c r="I30" i="1"/>
  <c r="I31" i="1"/>
  <c r="I32" i="1"/>
  <c r="I33" i="1"/>
  <c r="I34" i="1"/>
  <c r="I35" i="1"/>
  <c r="I36" i="1"/>
  <c r="I25" i="1"/>
  <c r="H26" i="1"/>
  <c r="H27" i="1"/>
  <c r="H28" i="1"/>
  <c r="H29" i="1"/>
  <c r="H30" i="1"/>
  <c r="H31" i="1"/>
  <c r="H32" i="1"/>
  <c r="H33" i="1"/>
  <c r="H34" i="1"/>
  <c r="H35" i="1"/>
  <c r="H36" i="1"/>
  <c r="H25" i="1"/>
  <c r="G26" i="1"/>
  <c r="G27" i="1"/>
  <c r="G28" i="1"/>
  <c r="G29" i="1"/>
  <c r="G30" i="1"/>
  <c r="G31" i="1"/>
  <c r="G32" i="1"/>
  <c r="G33" i="1"/>
  <c r="G34" i="1"/>
  <c r="G35" i="1"/>
  <c r="G36" i="1"/>
  <c r="G25" i="1"/>
  <c r="F26" i="1"/>
  <c r="F27" i="1"/>
  <c r="F28" i="1"/>
  <c r="F29" i="1"/>
  <c r="F30" i="1"/>
  <c r="F31" i="1"/>
  <c r="F32" i="1"/>
  <c r="F33" i="1"/>
  <c r="F34" i="1"/>
  <c r="F35" i="1"/>
  <c r="F36" i="1"/>
  <c r="F25" i="1"/>
  <c r="B25" i="1"/>
  <c r="D26" i="1"/>
  <c r="D27" i="1"/>
  <c r="D28" i="1"/>
  <c r="D29" i="1"/>
  <c r="D30" i="1"/>
  <c r="D31" i="1"/>
  <c r="D32" i="1"/>
  <c r="D33" i="1"/>
  <c r="D34" i="1"/>
  <c r="D35" i="1"/>
  <c r="D36" i="1"/>
  <c r="C26" i="1"/>
  <c r="C27" i="1"/>
  <c r="C28" i="1"/>
  <c r="C29" i="1"/>
  <c r="C30" i="1"/>
  <c r="C31" i="1"/>
  <c r="C32" i="1"/>
  <c r="C33" i="1"/>
  <c r="C34" i="1"/>
  <c r="C35" i="1"/>
  <c r="C36" i="1"/>
  <c r="D25" i="1"/>
  <c r="C25" i="1"/>
  <c r="M5" i="1"/>
  <c r="M6" i="1"/>
  <c r="M7" i="1"/>
  <c r="M8" i="1"/>
  <c r="M9" i="1"/>
  <c r="M10" i="1"/>
  <c r="M11" i="1"/>
  <c r="M12" i="1"/>
  <c r="M13" i="1"/>
  <c r="M14" i="1"/>
  <c r="M15" i="1"/>
  <c r="M4" i="1"/>
  <c r="H7" i="1"/>
  <c r="H8" i="1"/>
  <c r="H9" i="1"/>
  <c r="H10" i="1"/>
  <c r="H11" i="1"/>
  <c r="H12" i="1"/>
  <c r="H13" i="1"/>
  <c r="H14" i="1"/>
  <c r="H15" i="1"/>
  <c r="H6" i="1"/>
  <c r="H4" i="1"/>
  <c r="H5" i="1"/>
</calcChain>
</file>

<file path=xl/sharedStrings.xml><?xml version="1.0" encoding="utf-8"?>
<sst xmlns="http://schemas.openxmlformats.org/spreadsheetml/2006/main" count="20" uniqueCount="19">
  <si>
    <t>Longueur</t>
  </si>
  <si>
    <t>Largeur</t>
  </si>
  <si>
    <t>Résolution</t>
  </si>
  <si>
    <t>Valeur FPGA</t>
  </si>
  <si>
    <t>Valeur ARM</t>
  </si>
  <si>
    <t>CPU to FPGA</t>
  </si>
  <si>
    <t>FPGA to CPU</t>
  </si>
  <si>
    <t>50 MHz FGPA</t>
  </si>
  <si>
    <t>800 MHz</t>
  </si>
  <si>
    <t>Microsecond</t>
  </si>
  <si>
    <t>EXCEED LIMIT</t>
  </si>
  <si>
    <t>Total FPGA</t>
  </si>
  <si>
    <t>Total ARM</t>
  </si>
  <si>
    <t>FREQ FPGA</t>
  </si>
  <si>
    <t>FREQ CPU</t>
  </si>
  <si>
    <t>Temps Exec FPGA</t>
  </si>
  <si>
    <t>Temps Exec CPU</t>
  </si>
  <si>
    <t>Cpp FPGA</t>
  </si>
  <si>
    <t>Cpp CPU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</si>
</sst>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24759405074368"/>
          <c:y val="4.6296296296296294E-2"/>
          <c:w val="0.83268764700058484"/>
          <c:h val="0.82840181647828193"/>
        </c:manualLayout>
      </c:layout>
      <c:scatterChart>
        <c:scatterStyle val="smoothMarker"/>
        <c:varyColors val="0"/>
        <c:ser>
          <c:idx val="0"/>
          <c:order val="0"/>
          <c:tx>
            <c:v>Temps d'exécution sur CPU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5883889470914575E-2"/>
                  <c:y val="1.482665767285961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Feuil1!$H$4:$H$15</c:f>
              <c:numCache>
                <c:formatCode>General</c:formatCode>
                <c:ptCount val="12"/>
                <c:pt idx="0">
                  <c:v>5600</c:v>
                </c:pt>
                <c:pt idx="1">
                  <c:v>202800</c:v>
                </c:pt>
                <c:pt idx="2">
                  <c:v>529620</c:v>
                </c:pt>
                <c:pt idx="3">
                  <c:v>680900</c:v>
                </c:pt>
                <c:pt idx="4">
                  <c:v>1440000</c:v>
                </c:pt>
                <c:pt idx="5">
                  <c:v>2480100</c:v>
                </c:pt>
                <c:pt idx="6">
                  <c:v>3801200</c:v>
                </c:pt>
                <c:pt idx="7">
                  <c:v>5403300</c:v>
                </c:pt>
                <c:pt idx="8">
                  <c:v>7286400</c:v>
                </c:pt>
                <c:pt idx="9">
                  <c:v>9450500</c:v>
                </c:pt>
                <c:pt idx="10">
                  <c:v>11895600</c:v>
                </c:pt>
                <c:pt idx="11">
                  <c:v>14621700</c:v>
                </c:pt>
              </c:numCache>
            </c:numRef>
          </c:xVal>
          <c:yVal>
            <c:numRef>
              <c:f>Feuil1!$P$3:$P$14</c:f>
              <c:numCache>
                <c:formatCode>General</c:formatCode>
                <c:ptCount val="12"/>
                <c:pt idx="0">
                  <c:v>1.6249999999999999E-3</c:v>
                </c:pt>
                <c:pt idx="1">
                  <c:v>6.2073999999999997E-2</c:v>
                </c:pt>
                <c:pt idx="2">
                  <c:v>0.15807099999999999</c:v>
                </c:pt>
                <c:pt idx="3">
                  <c:v>0.212759</c:v>
                </c:pt>
                <c:pt idx="4">
                  <c:v>0.44559399999999999</c:v>
                </c:pt>
                <c:pt idx="5">
                  <c:v>0.76140099999999999</c:v>
                </c:pt>
                <c:pt idx="6">
                  <c:v>1.206229</c:v>
                </c:pt>
                <c:pt idx="7">
                  <c:v>1.725795</c:v>
                </c:pt>
                <c:pt idx="8">
                  <c:v>2.2972319999999997</c:v>
                </c:pt>
                <c:pt idx="9">
                  <c:v>3.0559959999999999</c:v>
                </c:pt>
                <c:pt idx="10">
                  <c:v>3.8134999999999999</c:v>
                </c:pt>
                <c:pt idx="11">
                  <c:v>4.5267590000000002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3C-43E5-9153-ADC6F13AC8DF}"/>
            </c:ext>
          </c:extLst>
        </c:ser>
        <c:ser>
          <c:idx val="1"/>
          <c:order val="1"/>
          <c:tx>
            <c:v>Temps d'exécution sur FPGA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7267909086168954E-2"/>
                  <c:y val="-4.138379741209913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Feuil1!$H$4:$H$15</c:f>
              <c:numCache>
                <c:formatCode>General</c:formatCode>
                <c:ptCount val="12"/>
                <c:pt idx="0">
                  <c:v>5600</c:v>
                </c:pt>
                <c:pt idx="1">
                  <c:v>202800</c:v>
                </c:pt>
                <c:pt idx="2">
                  <c:v>529620</c:v>
                </c:pt>
                <c:pt idx="3">
                  <c:v>680900</c:v>
                </c:pt>
                <c:pt idx="4">
                  <c:v>1440000</c:v>
                </c:pt>
                <c:pt idx="5">
                  <c:v>2480100</c:v>
                </c:pt>
                <c:pt idx="6">
                  <c:v>3801200</c:v>
                </c:pt>
                <c:pt idx="7">
                  <c:v>5403300</c:v>
                </c:pt>
                <c:pt idx="8">
                  <c:v>7286400</c:v>
                </c:pt>
                <c:pt idx="9">
                  <c:v>9450500</c:v>
                </c:pt>
                <c:pt idx="10">
                  <c:v>11895600</c:v>
                </c:pt>
                <c:pt idx="11">
                  <c:v>14621700</c:v>
                </c:pt>
              </c:numCache>
            </c:numRef>
          </c:xVal>
          <c:yVal>
            <c:numRef>
              <c:f>Feuil1!$O$3:$O$14</c:f>
              <c:numCache>
                <c:formatCode>General</c:formatCode>
                <c:ptCount val="12"/>
                <c:pt idx="0">
                  <c:v>3.4099999999999999E-4</c:v>
                </c:pt>
                <c:pt idx="1">
                  <c:v>1.676E-3</c:v>
                </c:pt>
                <c:pt idx="2">
                  <c:v>3.8939999999999999E-3</c:v>
                </c:pt>
                <c:pt idx="3">
                  <c:v>4.9649999999999998E-3</c:v>
                </c:pt>
                <c:pt idx="4">
                  <c:v>9.5399999999999999E-3</c:v>
                </c:pt>
                <c:pt idx="5">
                  <c:v>1.6036999999999999E-2</c:v>
                </c:pt>
                <c:pt idx="6">
                  <c:v>2.5103E-2</c:v>
                </c:pt>
                <c:pt idx="7">
                  <c:v>3.6517999999999995E-2</c:v>
                </c:pt>
                <c:pt idx="8">
                  <c:v>4.8527999999999995E-2</c:v>
                </c:pt>
                <c:pt idx="9">
                  <c:v>6.5359E-2</c:v>
                </c:pt>
                <c:pt idx="10">
                  <c:v>7.9349000000000003E-2</c:v>
                </c:pt>
                <c:pt idx="11">
                  <c:v>9.7925999999999999E-2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F3C-43E5-9153-ADC6F13AC8D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0024543"/>
        <c:axId val="170019135"/>
      </c:scatterChart>
      <c:valAx>
        <c:axId val="170024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>
                    <a:solidFill>
                      <a:schemeClr val="tx1"/>
                    </a:solidFill>
                  </a:rPr>
                  <a:t>Résolution</a:t>
                </a:r>
              </a:p>
            </c:rich>
          </c:tx>
          <c:layout>
            <c:manualLayout>
              <c:xMode val="edge"/>
              <c:yMode val="edge"/>
              <c:x val="0.44346327346123093"/>
              <c:y val="0.92833947541185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019135"/>
        <c:crosses val="autoZero"/>
        <c:crossBetween val="midCat"/>
      </c:valAx>
      <c:valAx>
        <c:axId val="17001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>
                    <a:solidFill>
                      <a:schemeClr val="tx1"/>
                    </a:solidFill>
                  </a:rPr>
                  <a:t>Temps d'exécution (en seconde)</a:t>
                </a:r>
              </a:p>
            </c:rich>
          </c:tx>
          <c:layout>
            <c:manualLayout>
              <c:xMode val="edge"/>
              <c:yMode val="edge"/>
              <c:x val="2.3961875317712617E-2"/>
              <c:y val="0.200482877631575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024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605785779694419"/>
          <c:y val="0.36812470853125639"/>
          <c:w val="0.26903525875061013"/>
          <c:h val="0.3110680277710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24759405074368"/>
          <c:y val="4.6296296296296294E-2"/>
          <c:w val="0.81419685039370082"/>
          <c:h val="0.841674686497521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Feuil1!$J$3</c:f>
              <c:strCache>
                <c:ptCount val="1"/>
                <c:pt idx="0">
                  <c:v>Valeur ARM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Feuil1!$H$4:$H$15</c:f>
              <c:numCache>
                <c:formatCode>General</c:formatCode>
                <c:ptCount val="12"/>
                <c:pt idx="0">
                  <c:v>5600</c:v>
                </c:pt>
                <c:pt idx="1">
                  <c:v>202800</c:v>
                </c:pt>
                <c:pt idx="2">
                  <c:v>529620</c:v>
                </c:pt>
                <c:pt idx="3">
                  <c:v>680900</c:v>
                </c:pt>
                <c:pt idx="4">
                  <c:v>1440000</c:v>
                </c:pt>
                <c:pt idx="5">
                  <c:v>2480100</c:v>
                </c:pt>
                <c:pt idx="6">
                  <c:v>3801200</c:v>
                </c:pt>
                <c:pt idx="7">
                  <c:v>5403300</c:v>
                </c:pt>
                <c:pt idx="8">
                  <c:v>7286400</c:v>
                </c:pt>
                <c:pt idx="9">
                  <c:v>9450500</c:v>
                </c:pt>
                <c:pt idx="10">
                  <c:v>11895600</c:v>
                </c:pt>
                <c:pt idx="11">
                  <c:v>14621700</c:v>
                </c:pt>
              </c:numCache>
            </c:numRef>
          </c:xVal>
          <c:yVal>
            <c:numRef>
              <c:f>Feuil1!$J$4:$J$15</c:f>
              <c:numCache>
                <c:formatCode>General</c:formatCode>
                <c:ptCount val="12"/>
                <c:pt idx="0">
                  <c:v>1625</c:v>
                </c:pt>
                <c:pt idx="1">
                  <c:v>62074</c:v>
                </c:pt>
                <c:pt idx="2">
                  <c:v>158071</c:v>
                </c:pt>
                <c:pt idx="3">
                  <c:v>212759</c:v>
                </c:pt>
                <c:pt idx="4">
                  <c:v>445594</c:v>
                </c:pt>
                <c:pt idx="5">
                  <c:v>761401</c:v>
                </c:pt>
                <c:pt idx="6">
                  <c:v>1206229</c:v>
                </c:pt>
                <c:pt idx="7">
                  <c:v>1725795</c:v>
                </c:pt>
                <c:pt idx="8">
                  <c:v>2297232</c:v>
                </c:pt>
                <c:pt idx="9">
                  <c:v>3055996</c:v>
                </c:pt>
                <c:pt idx="10">
                  <c:v>3813500</c:v>
                </c:pt>
                <c:pt idx="11">
                  <c:v>4526759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45-42F5-8BF3-7F8CC8C3A333}"/>
            </c:ext>
          </c:extLst>
        </c:ser>
        <c:ser>
          <c:idx val="1"/>
          <c:order val="1"/>
          <c:tx>
            <c:v>Valeur FPGA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Feuil1!$H$4:$H$15</c:f>
              <c:numCache>
                <c:formatCode>General</c:formatCode>
                <c:ptCount val="12"/>
                <c:pt idx="0">
                  <c:v>5600</c:v>
                </c:pt>
                <c:pt idx="1">
                  <c:v>202800</c:v>
                </c:pt>
                <c:pt idx="2">
                  <c:v>529620</c:v>
                </c:pt>
                <c:pt idx="3">
                  <c:v>680900</c:v>
                </c:pt>
                <c:pt idx="4">
                  <c:v>1440000</c:v>
                </c:pt>
                <c:pt idx="5">
                  <c:v>2480100</c:v>
                </c:pt>
                <c:pt idx="6">
                  <c:v>3801200</c:v>
                </c:pt>
                <c:pt idx="7">
                  <c:v>5403300</c:v>
                </c:pt>
                <c:pt idx="8">
                  <c:v>7286400</c:v>
                </c:pt>
                <c:pt idx="9">
                  <c:v>9450500</c:v>
                </c:pt>
                <c:pt idx="10">
                  <c:v>11895600</c:v>
                </c:pt>
                <c:pt idx="11">
                  <c:v>14621700</c:v>
                </c:pt>
              </c:numCache>
            </c:numRef>
          </c:xVal>
          <c:yVal>
            <c:numRef>
              <c:f>Feuil1!$M$4:$M$15</c:f>
              <c:numCache>
                <c:formatCode>General</c:formatCode>
                <c:ptCount val="12"/>
                <c:pt idx="0">
                  <c:v>1026</c:v>
                </c:pt>
                <c:pt idx="1">
                  <c:v>15591</c:v>
                </c:pt>
                <c:pt idx="2">
                  <c:v>38616</c:v>
                </c:pt>
                <c:pt idx="3">
                  <c:v>50369</c:v>
                </c:pt>
                <c:pt idx="4">
                  <c:v>107035</c:v>
                </c:pt>
                <c:pt idx="5">
                  <c:v>179338</c:v>
                </c:pt>
                <c:pt idx="6">
                  <c:v>276993</c:v>
                </c:pt>
                <c:pt idx="7">
                  <c:v>403162</c:v>
                </c:pt>
                <c:pt idx="8">
                  <c:v>542910</c:v>
                </c:pt>
                <c:pt idx="9">
                  <c:v>706397</c:v>
                </c:pt>
                <c:pt idx="10">
                  <c:v>885620</c:v>
                </c:pt>
                <c:pt idx="11">
                  <c:v>1050694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45-42F5-8BF3-7F8CC8C3A33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0024543"/>
        <c:axId val="170019135"/>
      </c:scatterChart>
      <c:valAx>
        <c:axId val="170024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019135"/>
        <c:crosses val="autoZero"/>
        <c:crossBetween val="midCat"/>
      </c:valAx>
      <c:valAx>
        <c:axId val="17001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024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58504197602451"/>
          <c:y val="4.6296296296296294E-2"/>
          <c:w val="0.8325003254433031"/>
          <c:h val="0.79164800063025853"/>
        </c:manualLayout>
      </c:layout>
      <c:scatterChart>
        <c:scatterStyle val="smoothMarker"/>
        <c:varyColors val="0"/>
        <c:ser>
          <c:idx val="0"/>
          <c:order val="0"/>
          <c:tx>
            <c:v>Cpp FPGA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Feuil1!$H$4:$H$15</c:f>
              <c:numCache>
                <c:formatCode>General</c:formatCode>
                <c:ptCount val="12"/>
                <c:pt idx="0">
                  <c:v>5600</c:v>
                </c:pt>
                <c:pt idx="1">
                  <c:v>202800</c:v>
                </c:pt>
                <c:pt idx="2">
                  <c:v>529620</c:v>
                </c:pt>
                <c:pt idx="3">
                  <c:v>680900</c:v>
                </c:pt>
                <c:pt idx="4">
                  <c:v>1440000</c:v>
                </c:pt>
                <c:pt idx="5">
                  <c:v>2480100</c:v>
                </c:pt>
                <c:pt idx="6">
                  <c:v>3801200</c:v>
                </c:pt>
                <c:pt idx="7">
                  <c:v>5403300</c:v>
                </c:pt>
                <c:pt idx="8">
                  <c:v>7286400</c:v>
                </c:pt>
                <c:pt idx="9">
                  <c:v>9450500</c:v>
                </c:pt>
                <c:pt idx="10">
                  <c:v>11895600</c:v>
                </c:pt>
                <c:pt idx="11">
                  <c:v>14621700</c:v>
                </c:pt>
              </c:numCache>
            </c:numRef>
          </c:xVal>
          <c:yVal>
            <c:numRef>
              <c:f>Feuil1!$H$25:$H$36</c:f>
              <c:numCache>
                <c:formatCode>General</c:formatCode>
                <c:ptCount val="12"/>
                <c:pt idx="0">
                  <c:v>9.1607142857142865</c:v>
                </c:pt>
                <c:pt idx="1">
                  <c:v>3.8439349112426036</c:v>
                </c:pt>
                <c:pt idx="2">
                  <c:v>3.6456327177976662</c:v>
                </c:pt>
                <c:pt idx="3">
                  <c:v>3.6987075928917608</c:v>
                </c:pt>
                <c:pt idx="4">
                  <c:v>3.7164930555555555</c:v>
                </c:pt>
                <c:pt idx="5">
                  <c:v>3.6155396959800008</c:v>
                </c:pt>
                <c:pt idx="6">
                  <c:v>3.6434941597390291</c:v>
                </c:pt>
                <c:pt idx="7">
                  <c:v>3.7307016082764237</c:v>
                </c:pt>
                <c:pt idx="8">
                  <c:v>3.7255023056653491</c:v>
                </c:pt>
                <c:pt idx="9">
                  <c:v>3.7373525210306329</c:v>
                </c:pt>
                <c:pt idx="10">
                  <c:v>3.7224688119977132</c:v>
                </c:pt>
                <c:pt idx="11">
                  <c:v>3.5929269510385247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A6-4E54-8895-960AF125072C}"/>
            </c:ext>
          </c:extLst>
        </c:ser>
        <c:ser>
          <c:idx val="1"/>
          <c:order val="1"/>
          <c:tx>
            <c:v>Cpp CPU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Feuil1!$H$4:$H$15</c:f>
              <c:numCache>
                <c:formatCode>General</c:formatCode>
                <c:ptCount val="12"/>
                <c:pt idx="0">
                  <c:v>5600</c:v>
                </c:pt>
                <c:pt idx="1">
                  <c:v>202800</c:v>
                </c:pt>
                <c:pt idx="2">
                  <c:v>529620</c:v>
                </c:pt>
                <c:pt idx="3">
                  <c:v>680900</c:v>
                </c:pt>
                <c:pt idx="4">
                  <c:v>1440000</c:v>
                </c:pt>
                <c:pt idx="5">
                  <c:v>2480100</c:v>
                </c:pt>
                <c:pt idx="6">
                  <c:v>3801200</c:v>
                </c:pt>
                <c:pt idx="7">
                  <c:v>5403300</c:v>
                </c:pt>
                <c:pt idx="8">
                  <c:v>7286400</c:v>
                </c:pt>
                <c:pt idx="9">
                  <c:v>9450500</c:v>
                </c:pt>
                <c:pt idx="10">
                  <c:v>11895600</c:v>
                </c:pt>
                <c:pt idx="11">
                  <c:v>14621700</c:v>
                </c:pt>
              </c:numCache>
            </c:numRef>
          </c:xVal>
          <c:yVal>
            <c:numRef>
              <c:f>Feuil1!$I$25:$I$36</c:f>
              <c:numCache>
                <c:formatCode>General</c:formatCode>
                <c:ptCount val="12"/>
                <c:pt idx="0">
                  <c:v>232.14285714285714</c:v>
                </c:pt>
                <c:pt idx="1">
                  <c:v>244.86785009861933</c:v>
                </c:pt>
                <c:pt idx="2">
                  <c:v>238.76892866583586</c:v>
                </c:pt>
                <c:pt idx="3">
                  <c:v>249.973858128947</c:v>
                </c:pt>
                <c:pt idx="4">
                  <c:v>247.55222222222221</c:v>
                </c:pt>
                <c:pt idx="5">
                  <c:v>245.60332244667552</c:v>
                </c:pt>
                <c:pt idx="6">
                  <c:v>253.86278017468166</c:v>
                </c:pt>
                <c:pt idx="7">
                  <c:v>255.51718394314585</c:v>
                </c:pt>
                <c:pt idx="8">
                  <c:v>252.22134387351775</c:v>
                </c:pt>
                <c:pt idx="9">
                  <c:v>258.69496852018409</c:v>
                </c:pt>
                <c:pt idx="10">
                  <c:v>256.46457513702541</c:v>
                </c:pt>
                <c:pt idx="11">
                  <c:v>247.67347162094694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A6-4E54-8895-960AF125072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0024543"/>
        <c:axId val="170019135"/>
      </c:scatterChart>
      <c:valAx>
        <c:axId val="170024543"/>
        <c:scaling>
          <c:orientation val="minMax"/>
          <c:max val="15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2400">
                    <a:solidFill>
                      <a:schemeClr val="tx1"/>
                    </a:solidFill>
                  </a:rPr>
                  <a:t>Résolution</a:t>
                </a:r>
              </a:p>
            </c:rich>
          </c:tx>
          <c:layout>
            <c:manualLayout>
              <c:xMode val="edge"/>
              <c:yMode val="edge"/>
              <c:x val="0.43131129789029843"/>
              <c:y val="0.900424529230923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019135"/>
        <c:crosses val="autoZero"/>
        <c:crossBetween val="midCat"/>
      </c:valAx>
      <c:valAx>
        <c:axId val="170019135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2400">
                    <a:solidFill>
                      <a:schemeClr val="tx1"/>
                    </a:solidFill>
                  </a:rPr>
                  <a:t>Cpp</a:t>
                </a:r>
              </a:p>
            </c:rich>
          </c:tx>
          <c:layout>
            <c:manualLayout>
              <c:xMode val="edge"/>
              <c:yMode val="edge"/>
              <c:x val="1.2496238637211492E-2"/>
              <c:y val="0.448082277381777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024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147785088493697"/>
          <c:y val="0.38039979449959138"/>
          <c:w val="0.20152169401935999"/>
          <c:h val="0.217887882027068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24759405074368"/>
          <c:y val="4.6296296296296294E-2"/>
          <c:w val="0.83268764700058484"/>
          <c:h val="0.82840181647828193"/>
        </c:manualLayout>
      </c:layout>
      <c:scatterChart>
        <c:scatterStyle val="smoothMarker"/>
        <c:varyColors val="0"/>
        <c:ser>
          <c:idx val="0"/>
          <c:order val="0"/>
          <c:tx>
            <c:v>Temps de latence sur CPU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5458069181939968"/>
                  <c:y val="0.101588610273434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Feuil1!$H$4:$H$15</c:f>
              <c:numCache>
                <c:formatCode>General</c:formatCode>
                <c:ptCount val="12"/>
                <c:pt idx="0">
                  <c:v>5600</c:v>
                </c:pt>
                <c:pt idx="1">
                  <c:v>202800</c:v>
                </c:pt>
                <c:pt idx="2">
                  <c:v>529620</c:v>
                </c:pt>
                <c:pt idx="3">
                  <c:v>680900</c:v>
                </c:pt>
                <c:pt idx="4">
                  <c:v>1440000</c:v>
                </c:pt>
                <c:pt idx="5">
                  <c:v>2480100</c:v>
                </c:pt>
                <c:pt idx="6">
                  <c:v>3801200</c:v>
                </c:pt>
                <c:pt idx="7">
                  <c:v>5403300</c:v>
                </c:pt>
                <c:pt idx="8">
                  <c:v>7286400</c:v>
                </c:pt>
                <c:pt idx="9">
                  <c:v>9450500</c:v>
                </c:pt>
                <c:pt idx="10">
                  <c:v>11895600</c:v>
                </c:pt>
                <c:pt idx="11">
                  <c:v>14621700</c:v>
                </c:pt>
              </c:numCache>
            </c:numRef>
          </c:xVal>
          <c:yVal>
            <c:numRef>
              <c:f>Feuil1!$P$3:$P$14</c:f>
              <c:numCache>
                <c:formatCode>General</c:formatCode>
                <c:ptCount val="12"/>
                <c:pt idx="0">
                  <c:v>1.6249999999999999E-3</c:v>
                </c:pt>
                <c:pt idx="1">
                  <c:v>6.2073999999999997E-2</c:v>
                </c:pt>
                <c:pt idx="2">
                  <c:v>0.15807099999999999</c:v>
                </c:pt>
                <c:pt idx="3">
                  <c:v>0.212759</c:v>
                </c:pt>
                <c:pt idx="4">
                  <c:v>0.44559399999999999</c:v>
                </c:pt>
                <c:pt idx="5">
                  <c:v>0.76140099999999999</c:v>
                </c:pt>
                <c:pt idx="6">
                  <c:v>1.206229</c:v>
                </c:pt>
                <c:pt idx="7">
                  <c:v>1.725795</c:v>
                </c:pt>
                <c:pt idx="8">
                  <c:v>2.2972319999999997</c:v>
                </c:pt>
                <c:pt idx="9">
                  <c:v>3.0559959999999999</c:v>
                </c:pt>
                <c:pt idx="10">
                  <c:v>3.8134999999999999</c:v>
                </c:pt>
                <c:pt idx="11">
                  <c:v>4.5267590000000002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4D-4C24-AC16-0DC12A7A2461}"/>
            </c:ext>
          </c:extLst>
        </c:ser>
        <c:ser>
          <c:idx val="1"/>
          <c:order val="1"/>
          <c:tx>
            <c:v>Temps de latence sur FPGA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4162694597185907E-2"/>
                  <c:y val="0.105532809357778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Feuil1!$H$4:$H$15</c:f>
              <c:numCache>
                <c:formatCode>General</c:formatCode>
                <c:ptCount val="12"/>
                <c:pt idx="0">
                  <c:v>5600</c:v>
                </c:pt>
                <c:pt idx="1">
                  <c:v>202800</c:v>
                </c:pt>
                <c:pt idx="2">
                  <c:v>529620</c:v>
                </c:pt>
                <c:pt idx="3">
                  <c:v>680900</c:v>
                </c:pt>
                <c:pt idx="4">
                  <c:v>1440000</c:v>
                </c:pt>
                <c:pt idx="5">
                  <c:v>2480100</c:v>
                </c:pt>
                <c:pt idx="6">
                  <c:v>3801200</c:v>
                </c:pt>
                <c:pt idx="7">
                  <c:v>5403300</c:v>
                </c:pt>
                <c:pt idx="8">
                  <c:v>7286400</c:v>
                </c:pt>
                <c:pt idx="9">
                  <c:v>9450500</c:v>
                </c:pt>
                <c:pt idx="10">
                  <c:v>11895600</c:v>
                </c:pt>
                <c:pt idx="11">
                  <c:v>14621700</c:v>
                </c:pt>
              </c:numCache>
            </c:numRef>
          </c:xVal>
          <c:yVal>
            <c:numRef>
              <c:f>Feuil1!$Q$3:$Q$14</c:f>
              <c:numCache>
                <c:formatCode>General</c:formatCode>
                <c:ptCount val="12"/>
                <c:pt idx="0">
                  <c:v>1.026E-3</c:v>
                </c:pt>
                <c:pt idx="1">
                  <c:v>1.5590999999999999E-2</c:v>
                </c:pt>
                <c:pt idx="2">
                  <c:v>3.8615999999999998E-2</c:v>
                </c:pt>
                <c:pt idx="3">
                  <c:v>5.0368999999999997E-2</c:v>
                </c:pt>
                <c:pt idx="4">
                  <c:v>0.10703499999999999</c:v>
                </c:pt>
                <c:pt idx="5">
                  <c:v>0.179338</c:v>
                </c:pt>
                <c:pt idx="6">
                  <c:v>0.27699299999999999</c:v>
                </c:pt>
                <c:pt idx="7">
                  <c:v>0.40316199999999996</c:v>
                </c:pt>
                <c:pt idx="8">
                  <c:v>0.54291</c:v>
                </c:pt>
                <c:pt idx="9">
                  <c:v>0.70639699999999994</c:v>
                </c:pt>
                <c:pt idx="10">
                  <c:v>0.88561999999999996</c:v>
                </c:pt>
                <c:pt idx="11">
                  <c:v>1.050694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4D-4C24-AC16-0DC12A7A246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0024543"/>
        <c:axId val="170019135"/>
      </c:scatterChart>
      <c:valAx>
        <c:axId val="170024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>
                    <a:solidFill>
                      <a:schemeClr val="tx1"/>
                    </a:solidFill>
                  </a:rPr>
                  <a:t>Résolution</a:t>
                </a:r>
              </a:p>
            </c:rich>
          </c:tx>
          <c:layout>
            <c:manualLayout>
              <c:xMode val="edge"/>
              <c:yMode val="edge"/>
              <c:x val="0.44346327346123093"/>
              <c:y val="0.92833947541185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019135"/>
        <c:crosses val="autoZero"/>
        <c:crossBetween val="midCat"/>
      </c:valAx>
      <c:valAx>
        <c:axId val="17001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>
                    <a:solidFill>
                      <a:schemeClr val="tx1"/>
                    </a:solidFill>
                  </a:rPr>
                  <a:t>Temps de</a:t>
                </a:r>
                <a:r>
                  <a:rPr lang="en-US" sz="2000" baseline="0">
                    <a:solidFill>
                      <a:schemeClr val="tx1"/>
                    </a:solidFill>
                  </a:rPr>
                  <a:t> latence</a:t>
                </a:r>
                <a:r>
                  <a:rPr lang="en-US" sz="2000">
                    <a:solidFill>
                      <a:schemeClr val="tx1"/>
                    </a:solidFill>
                  </a:rPr>
                  <a:t> (en seconde)</a:t>
                </a:r>
              </a:p>
            </c:rich>
          </c:tx>
          <c:layout>
            <c:manualLayout>
              <c:xMode val="edge"/>
              <c:yMode val="edge"/>
              <c:x val="2.3961877809690016E-2"/>
              <c:y val="0.220392266155721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024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871730237760622"/>
          <c:y val="0.37954075492606898"/>
          <c:w val="0.23845190028545263"/>
          <c:h val="0.3065016092130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58504197602451"/>
          <c:y val="4.6296296296296294E-2"/>
          <c:w val="0.8325003254433031"/>
          <c:h val="0.79164800063025853"/>
        </c:manualLayout>
      </c:layout>
      <c:scatterChart>
        <c:scatterStyle val="smoothMarker"/>
        <c:varyColors val="0"/>
        <c:ser>
          <c:idx val="0"/>
          <c:order val="0"/>
          <c:tx>
            <c:v>Cpp FPGA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Feuil1!$H$4:$H$15</c:f>
              <c:numCache>
                <c:formatCode>General</c:formatCode>
                <c:ptCount val="12"/>
                <c:pt idx="0">
                  <c:v>5600</c:v>
                </c:pt>
                <c:pt idx="1">
                  <c:v>202800</c:v>
                </c:pt>
                <c:pt idx="2">
                  <c:v>529620</c:v>
                </c:pt>
                <c:pt idx="3">
                  <c:v>680900</c:v>
                </c:pt>
                <c:pt idx="4">
                  <c:v>1440000</c:v>
                </c:pt>
                <c:pt idx="5">
                  <c:v>2480100</c:v>
                </c:pt>
                <c:pt idx="6">
                  <c:v>3801200</c:v>
                </c:pt>
                <c:pt idx="7">
                  <c:v>5403300</c:v>
                </c:pt>
                <c:pt idx="8">
                  <c:v>7286400</c:v>
                </c:pt>
                <c:pt idx="9">
                  <c:v>9450500</c:v>
                </c:pt>
                <c:pt idx="10">
                  <c:v>11895600</c:v>
                </c:pt>
                <c:pt idx="11">
                  <c:v>14621700</c:v>
                </c:pt>
              </c:numCache>
            </c:numRef>
          </c:xVal>
          <c:yVal>
            <c:numRef>
              <c:f>Feuil1!$H$25:$H$36</c:f>
              <c:numCache>
                <c:formatCode>General</c:formatCode>
                <c:ptCount val="12"/>
                <c:pt idx="0">
                  <c:v>9.1607142857142865</c:v>
                </c:pt>
                <c:pt idx="1">
                  <c:v>3.8439349112426036</c:v>
                </c:pt>
                <c:pt idx="2">
                  <c:v>3.6456327177976662</c:v>
                </c:pt>
                <c:pt idx="3">
                  <c:v>3.6987075928917608</c:v>
                </c:pt>
                <c:pt idx="4">
                  <c:v>3.7164930555555555</c:v>
                </c:pt>
                <c:pt idx="5">
                  <c:v>3.6155396959800008</c:v>
                </c:pt>
                <c:pt idx="6">
                  <c:v>3.6434941597390291</c:v>
                </c:pt>
                <c:pt idx="7">
                  <c:v>3.7307016082764237</c:v>
                </c:pt>
                <c:pt idx="8">
                  <c:v>3.7255023056653491</c:v>
                </c:pt>
                <c:pt idx="9">
                  <c:v>3.7373525210306329</c:v>
                </c:pt>
                <c:pt idx="10">
                  <c:v>3.7224688119977132</c:v>
                </c:pt>
                <c:pt idx="11">
                  <c:v>3.5929269510385247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56-489E-949A-1A5C6A9B6C9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0024543"/>
        <c:axId val="170019135"/>
      </c:scatterChart>
      <c:valAx>
        <c:axId val="170024543"/>
        <c:scaling>
          <c:orientation val="minMax"/>
          <c:max val="15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2400">
                    <a:solidFill>
                      <a:schemeClr val="tx1"/>
                    </a:solidFill>
                  </a:rPr>
                  <a:t>Résolution</a:t>
                </a:r>
              </a:p>
            </c:rich>
          </c:tx>
          <c:layout>
            <c:manualLayout>
              <c:xMode val="edge"/>
              <c:yMode val="edge"/>
              <c:x val="0.43131129789029843"/>
              <c:y val="0.900424529230923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019135"/>
        <c:crosses val="autoZero"/>
        <c:crossBetween val="midCat"/>
      </c:valAx>
      <c:valAx>
        <c:axId val="170019135"/>
        <c:scaling>
          <c:orientation val="minMax"/>
          <c:max val="4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2400">
                    <a:solidFill>
                      <a:schemeClr val="tx1"/>
                    </a:solidFill>
                  </a:rPr>
                  <a:t>Cpp</a:t>
                </a:r>
              </a:p>
            </c:rich>
          </c:tx>
          <c:layout>
            <c:manualLayout>
              <c:xMode val="edge"/>
              <c:yMode val="edge"/>
              <c:x val="1.2496238637211492E-2"/>
              <c:y val="0.448082277381777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024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147785088493697"/>
          <c:y val="0.38039979449959138"/>
          <c:w val="0.20152169401935999"/>
          <c:h val="0.217887882027068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58504197602451"/>
          <c:y val="4.6296296296296294E-2"/>
          <c:w val="0.8325003254433031"/>
          <c:h val="0.79164800063025853"/>
        </c:manualLayout>
      </c:layout>
      <c:scatterChart>
        <c:scatterStyle val="smoothMarker"/>
        <c:varyColors val="0"/>
        <c:ser>
          <c:idx val="1"/>
          <c:order val="0"/>
          <c:tx>
            <c:v>Cpp CPU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Feuil1!$H$4:$H$15</c:f>
              <c:numCache>
                <c:formatCode>General</c:formatCode>
                <c:ptCount val="12"/>
                <c:pt idx="0">
                  <c:v>5600</c:v>
                </c:pt>
                <c:pt idx="1">
                  <c:v>202800</c:v>
                </c:pt>
                <c:pt idx="2">
                  <c:v>529620</c:v>
                </c:pt>
                <c:pt idx="3">
                  <c:v>680900</c:v>
                </c:pt>
                <c:pt idx="4">
                  <c:v>1440000</c:v>
                </c:pt>
                <c:pt idx="5">
                  <c:v>2480100</c:v>
                </c:pt>
                <c:pt idx="6">
                  <c:v>3801200</c:v>
                </c:pt>
                <c:pt idx="7">
                  <c:v>5403300</c:v>
                </c:pt>
                <c:pt idx="8">
                  <c:v>7286400</c:v>
                </c:pt>
                <c:pt idx="9">
                  <c:v>9450500</c:v>
                </c:pt>
                <c:pt idx="10">
                  <c:v>11895600</c:v>
                </c:pt>
                <c:pt idx="11">
                  <c:v>14621700</c:v>
                </c:pt>
              </c:numCache>
            </c:numRef>
          </c:xVal>
          <c:yVal>
            <c:numRef>
              <c:f>Feuil1!$I$25:$I$36</c:f>
              <c:numCache>
                <c:formatCode>General</c:formatCode>
                <c:ptCount val="12"/>
                <c:pt idx="0">
                  <c:v>232.14285714285714</c:v>
                </c:pt>
                <c:pt idx="1">
                  <c:v>244.86785009861933</c:v>
                </c:pt>
                <c:pt idx="2">
                  <c:v>238.76892866583586</c:v>
                </c:pt>
                <c:pt idx="3">
                  <c:v>249.973858128947</c:v>
                </c:pt>
                <c:pt idx="4">
                  <c:v>247.55222222222221</c:v>
                </c:pt>
                <c:pt idx="5">
                  <c:v>245.60332244667552</c:v>
                </c:pt>
                <c:pt idx="6">
                  <c:v>253.86278017468166</c:v>
                </c:pt>
                <c:pt idx="7">
                  <c:v>255.51718394314585</c:v>
                </c:pt>
                <c:pt idx="8">
                  <c:v>252.22134387351775</c:v>
                </c:pt>
                <c:pt idx="9">
                  <c:v>258.69496852018409</c:v>
                </c:pt>
                <c:pt idx="10">
                  <c:v>256.46457513702541</c:v>
                </c:pt>
                <c:pt idx="11">
                  <c:v>247.67347162094694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6B-4462-96D2-39400004444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0024543"/>
        <c:axId val="170019135"/>
      </c:scatterChart>
      <c:valAx>
        <c:axId val="170024543"/>
        <c:scaling>
          <c:orientation val="minMax"/>
          <c:max val="15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2400">
                    <a:solidFill>
                      <a:schemeClr val="tx1"/>
                    </a:solidFill>
                  </a:rPr>
                  <a:t>Résolution</a:t>
                </a:r>
              </a:p>
            </c:rich>
          </c:tx>
          <c:layout>
            <c:manualLayout>
              <c:xMode val="edge"/>
              <c:yMode val="edge"/>
              <c:x val="0.43131129789029843"/>
              <c:y val="0.900424529230923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019135"/>
        <c:crosses val="autoZero"/>
        <c:crossBetween val="midCat"/>
      </c:valAx>
      <c:valAx>
        <c:axId val="170019135"/>
        <c:scaling>
          <c:orientation val="minMax"/>
          <c:max val="280"/>
          <c:min val="2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2400">
                    <a:solidFill>
                      <a:schemeClr val="tx1"/>
                    </a:solidFill>
                  </a:rPr>
                  <a:t>Cpp</a:t>
                </a:r>
              </a:p>
            </c:rich>
          </c:tx>
          <c:layout>
            <c:manualLayout>
              <c:xMode val="edge"/>
              <c:yMode val="edge"/>
              <c:x val="1.2496238637211492E-2"/>
              <c:y val="0.448082277381777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024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147785088493697"/>
          <c:y val="0.38039979449959138"/>
          <c:w val="0.20152169401935999"/>
          <c:h val="0.217887882027068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251012</xdr:colOff>
      <xdr:row>18</xdr:row>
      <xdr:rowOff>43285</xdr:rowOff>
    </xdr:from>
    <xdr:to>
      <xdr:col>23</xdr:col>
      <xdr:colOff>102134</xdr:colOff>
      <xdr:row>49</xdr:row>
      <xdr:rowOff>47513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6B4485DE-46D3-33FB-2BFC-765E9CC19B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606340</xdr:colOff>
      <xdr:row>48</xdr:row>
      <xdr:rowOff>75792</xdr:rowOff>
    </xdr:from>
    <xdr:to>
      <xdr:col>26</xdr:col>
      <xdr:colOff>313009</xdr:colOff>
      <xdr:row>70</xdr:row>
      <xdr:rowOff>128317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7AE8963-E89E-4D18-9A52-BB23479B9B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97972</xdr:colOff>
      <xdr:row>37</xdr:row>
      <xdr:rowOff>162647</xdr:rowOff>
    </xdr:from>
    <xdr:to>
      <xdr:col>10</xdr:col>
      <xdr:colOff>544286</xdr:colOff>
      <xdr:row>68</xdr:row>
      <xdr:rowOff>10885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5F1ED00-092A-4738-B7F3-19FB8EA22A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590550</xdr:colOff>
      <xdr:row>8</xdr:row>
      <xdr:rowOff>95250</xdr:rowOff>
    </xdr:from>
    <xdr:to>
      <xdr:col>35</xdr:col>
      <xdr:colOff>670272</xdr:colOff>
      <xdr:row>39</xdr:row>
      <xdr:rowOff>99478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B7CD9A1-BFAA-4063-9CC6-D3D19E852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533399</xdr:colOff>
      <xdr:row>70</xdr:row>
      <xdr:rowOff>141514</xdr:rowOff>
    </xdr:from>
    <xdr:to>
      <xdr:col>11</xdr:col>
      <xdr:colOff>43542</xdr:colOff>
      <xdr:row>100</xdr:row>
      <xdr:rowOff>174810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130B0CBF-5776-4F78-A580-E787C95858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478971</xdr:colOff>
      <xdr:row>104</xdr:row>
      <xdr:rowOff>174172</xdr:rowOff>
    </xdr:from>
    <xdr:to>
      <xdr:col>10</xdr:col>
      <xdr:colOff>925285</xdr:colOff>
      <xdr:row>135</xdr:row>
      <xdr:rowOff>22411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C5DC9E87-3692-4E81-82F4-24BD3959A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36"/>
  <sheetViews>
    <sheetView tabSelected="1" topLeftCell="A29" zoomScale="70" zoomScaleNormal="70" workbookViewId="0">
      <selection activeCell="P121" sqref="P121"/>
    </sheetView>
  </sheetViews>
  <sheetFormatPr baseColWidth="10" defaultRowHeight="14.4" x14ac:dyDescent="0.3"/>
  <cols>
    <col min="6" max="6" width="21.21875" customWidth="1"/>
    <col min="7" max="7" width="17" customWidth="1"/>
    <col min="8" max="8" width="13.6640625" customWidth="1"/>
    <col min="9" max="10" width="12.6640625" customWidth="1"/>
    <col min="11" max="11" width="13.6640625" customWidth="1"/>
    <col min="12" max="12" width="14.88671875" customWidth="1"/>
  </cols>
  <sheetData>
    <row r="1" spans="6:17" x14ac:dyDescent="0.3">
      <c r="K1" s="1" t="s">
        <v>9</v>
      </c>
    </row>
    <row r="2" spans="6:17" x14ac:dyDescent="0.3">
      <c r="I2" s="1" t="s">
        <v>7</v>
      </c>
      <c r="J2" s="1" t="s">
        <v>8</v>
      </c>
    </row>
    <row r="3" spans="6:17" x14ac:dyDescent="0.3">
      <c r="F3" s="1" t="s">
        <v>0</v>
      </c>
      <c r="G3" s="1" t="s">
        <v>1</v>
      </c>
      <c r="H3" s="1" t="s">
        <v>2</v>
      </c>
      <c r="I3" s="1" t="s">
        <v>3</v>
      </c>
      <c r="J3" s="1" t="s">
        <v>4</v>
      </c>
      <c r="K3" s="1" t="s">
        <v>5</v>
      </c>
      <c r="L3" s="1" t="s">
        <v>6</v>
      </c>
      <c r="M3" s="1" t="s">
        <v>11</v>
      </c>
      <c r="N3" s="1" t="s">
        <v>12</v>
      </c>
      <c r="O3">
        <f>I4*10^-6</f>
        <v>3.4099999999999999E-4</v>
      </c>
      <c r="P3">
        <f>J4*10^-6</f>
        <v>1.6249999999999999E-3</v>
      </c>
      <c r="Q3">
        <f>(I4+K4+L4)*10^-6</f>
        <v>1.026E-3</v>
      </c>
    </row>
    <row r="4" spans="6:17" x14ac:dyDescent="0.3">
      <c r="F4" s="1">
        <v>56</v>
      </c>
      <c r="G4" s="1">
        <v>100</v>
      </c>
      <c r="H4" s="1">
        <f>F4*G4</f>
        <v>5600</v>
      </c>
      <c r="I4" s="1">
        <v>341</v>
      </c>
      <c r="J4" s="1">
        <v>1625</v>
      </c>
      <c r="K4" s="1">
        <v>450</v>
      </c>
      <c r="L4" s="1">
        <v>235</v>
      </c>
      <c r="M4">
        <f>I4+K4+L4</f>
        <v>1026</v>
      </c>
      <c r="N4" s="1">
        <v>1625</v>
      </c>
      <c r="O4">
        <f t="shared" ref="O4:O14" si="0">I5*10^-6</f>
        <v>1.676E-3</v>
      </c>
      <c r="P4">
        <f t="shared" ref="P4:P14" si="1">J5*10^-6</f>
        <v>6.2073999999999997E-2</v>
      </c>
      <c r="Q4">
        <f t="shared" ref="Q4:Q14" si="2">(I5+K5+L5)*10^-6</f>
        <v>1.5590999999999999E-2</v>
      </c>
    </row>
    <row r="5" spans="6:17" x14ac:dyDescent="0.3">
      <c r="F5" s="1">
        <v>338</v>
      </c>
      <c r="G5" s="1">
        <v>600</v>
      </c>
      <c r="H5" s="1">
        <f t="shared" ref="H5:H15" si="3">F5*G5</f>
        <v>202800</v>
      </c>
      <c r="I5" s="1">
        <v>1676</v>
      </c>
      <c r="J5" s="1">
        <v>62074</v>
      </c>
      <c r="K5" s="1">
        <v>7682</v>
      </c>
      <c r="L5" s="1">
        <v>6233</v>
      </c>
      <c r="M5">
        <f t="shared" ref="M5:M15" si="4">I5+K5+L5</f>
        <v>15591</v>
      </c>
      <c r="N5" s="1">
        <v>62074</v>
      </c>
      <c r="O5">
        <f t="shared" si="0"/>
        <v>3.8939999999999999E-3</v>
      </c>
      <c r="P5">
        <f t="shared" si="1"/>
        <v>0.15807099999999999</v>
      </c>
      <c r="Q5">
        <f t="shared" si="2"/>
        <v>3.8615999999999998E-2</v>
      </c>
    </row>
    <row r="6" spans="6:17" x14ac:dyDescent="0.3">
      <c r="F6" s="1">
        <v>546</v>
      </c>
      <c r="G6" s="1">
        <v>970</v>
      </c>
      <c r="H6" s="1">
        <f t="shared" si="3"/>
        <v>529620</v>
      </c>
      <c r="I6" s="1">
        <v>3894</v>
      </c>
      <c r="J6" s="1">
        <v>158071</v>
      </c>
      <c r="K6" s="1">
        <v>18957</v>
      </c>
      <c r="L6" s="1">
        <v>15765</v>
      </c>
      <c r="M6">
        <f t="shared" si="4"/>
        <v>38616</v>
      </c>
      <c r="N6" s="1">
        <v>158071</v>
      </c>
      <c r="O6">
        <f t="shared" si="0"/>
        <v>4.9649999999999998E-3</v>
      </c>
      <c r="P6">
        <f t="shared" si="1"/>
        <v>0.212759</v>
      </c>
      <c r="Q6">
        <f t="shared" si="2"/>
        <v>5.0368999999999997E-2</v>
      </c>
    </row>
    <row r="7" spans="6:17" x14ac:dyDescent="0.3">
      <c r="F7" s="1">
        <v>619</v>
      </c>
      <c r="G7" s="1">
        <v>1100</v>
      </c>
      <c r="H7" s="1">
        <f t="shared" si="3"/>
        <v>680900</v>
      </c>
      <c r="I7" s="1">
        <v>4965</v>
      </c>
      <c r="J7" s="1">
        <v>212759</v>
      </c>
      <c r="K7" s="1">
        <v>24399</v>
      </c>
      <c r="L7" s="1">
        <v>21005</v>
      </c>
      <c r="M7">
        <f t="shared" si="4"/>
        <v>50369</v>
      </c>
      <c r="N7" s="1">
        <v>212759</v>
      </c>
      <c r="O7">
        <f t="shared" si="0"/>
        <v>9.5399999999999999E-3</v>
      </c>
      <c r="P7">
        <f t="shared" si="1"/>
        <v>0.44559399999999999</v>
      </c>
      <c r="Q7">
        <f t="shared" si="2"/>
        <v>0.10703499999999999</v>
      </c>
    </row>
    <row r="8" spans="6:17" x14ac:dyDescent="0.3">
      <c r="F8" s="1">
        <v>900</v>
      </c>
      <c r="G8" s="1">
        <v>1600</v>
      </c>
      <c r="H8" s="1">
        <f t="shared" si="3"/>
        <v>1440000</v>
      </c>
      <c r="I8" s="1">
        <v>9540</v>
      </c>
      <c r="J8" s="1">
        <v>445594</v>
      </c>
      <c r="K8" s="1">
        <v>52851</v>
      </c>
      <c r="L8" s="1">
        <v>44644</v>
      </c>
      <c r="M8">
        <f t="shared" si="4"/>
        <v>107035</v>
      </c>
      <c r="N8" s="1">
        <v>445594</v>
      </c>
      <c r="O8">
        <f t="shared" si="0"/>
        <v>1.6036999999999999E-2</v>
      </c>
      <c r="P8">
        <f t="shared" si="1"/>
        <v>0.76140099999999999</v>
      </c>
      <c r="Q8">
        <f t="shared" si="2"/>
        <v>0.179338</v>
      </c>
    </row>
    <row r="9" spans="6:17" x14ac:dyDescent="0.3">
      <c r="F9" s="1">
        <v>1181</v>
      </c>
      <c r="G9" s="1">
        <v>2100</v>
      </c>
      <c r="H9" s="1">
        <f t="shared" si="3"/>
        <v>2480100</v>
      </c>
      <c r="I9" s="1">
        <v>16037</v>
      </c>
      <c r="J9" s="1">
        <v>761401</v>
      </c>
      <c r="K9" s="1">
        <v>88544</v>
      </c>
      <c r="L9" s="1">
        <v>74757</v>
      </c>
      <c r="M9">
        <f t="shared" si="4"/>
        <v>179338</v>
      </c>
      <c r="N9" s="1">
        <v>761401</v>
      </c>
      <c r="O9">
        <f t="shared" si="0"/>
        <v>2.5103E-2</v>
      </c>
      <c r="P9">
        <f t="shared" si="1"/>
        <v>1.206229</v>
      </c>
      <c r="Q9">
        <f t="shared" si="2"/>
        <v>0.27699299999999999</v>
      </c>
    </row>
    <row r="10" spans="6:17" x14ac:dyDescent="0.3">
      <c r="F10" s="1">
        <v>1462</v>
      </c>
      <c r="G10" s="1">
        <v>2600</v>
      </c>
      <c r="H10" s="1">
        <f t="shared" si="3"/>
        <v>3801200</v>
      </c>
      <c r="I10" s="1">
        <v>25103</v>
      </c>
      <c r="J10" s="1">
        <v>1206229</v>
      </c>
      <c r="K10" s="1">
        <v>134168</v>
      </c>
      <c r="L10" s="1">
        <v>117722</v>
      </c>
      <c r="M10">
        <f t="shared" si="4"/>
        <v>276993</v>
      </c>
      <c r="N10" s="1">
        <v>1206229</v>
      </c>
      <c r="O10">
        <f t="shared" si="0"/>
        <v>3.6517999999999995E-2</v>
      </c>
      <c r="P10">
        <f t="shared" si="1"/>
        <v>1.725795</v>
      </c>
      <c r="Q10">
        <f t="shared" si="2"/>
        <v>0.40316199999999996</v>
      </c>
    </row>
    <row r="11" spans="6:17" x14ac:dyDescent="0.3">
      <c r="F11" s="1">
        <v>1743</v>
      </c>
      <c r="G11" s="1">
        <v>3100</v>
      </c>
      <c r="H11" s="1">
        <f t="shared" si="3"/>
        <v>5403300</v>
      </c>
      <c r="I11" s="1">
        <v>36518</v>
      </c>
      <c r="J11" s="1">
        <v>1725795</v>
      </c>
      <c r="K11" s="1">
        <v>199395</v>
      </c>
      <c r="L11" s="1">
        <v>167249</v>
      </c>
      <c r="M11">
        <f t="shared" si="4"/>
        <v>403162</v>
      </c>
      <c r="N11" s="1">
        <v>1725795</v>
      </c>
      <c r="O11">
        <f t="shared" si="0"/>
        <v>4.8527999999999995E-2</v>
      </c>
      <c r="P11">
        <f t="shared" si="1"/>
        <v>2.2972319999999997</v>
      </c>
      <c r="Q11">
        <f t="shared" si="2"/>
        <v>0.54291</v>
      </c>
    </row>
    <row r="12" spans="6:17" x14ac:dyDescent="0.3">
      <c r="F12" s="1">
        <v>2024</v>
      </c>
      <c r="G12" s="1">
        <v>3600</v>
      </c>
      <c r="H12" s="1">
        <f t="shared" si="3"/>
        <v>7286400</v>
      </c>
      <c r="I12" s="1">
        <v>48528</v>
      </c>
      <c r="J12" s="1">
        <v>2297232</v>
      </c>
      <c r="K12" s="1">
        <v>268622</v>
      </c>
      <c r="L12" s="1">
        <v>225760</v>
      </c>
      <c r="M12">
        <f t="shared" si="4"/>
        <v>542910</v>
      </c>
      <c r="N12" s="1">
        <v>2297232</v>
      </c>
      <c r="O12">
        <f t="shared" si="0"/>
        <v>6.5359E-2</v>
      </c>
      <c r="P12">
        <f t="shared" si="1"/>
        <v>3.0559959999999999</v>
      </c>
      <c r="Q12">
        <f t="shared" si="2"/>
        <v>0.70639699999999994</v>
      </c>
    </row>
    <row r="13" spans="6:17" x14ac:dyDescent="0.3">
      <c r="F13" s="1">
        <v>2305</v>
      </c>
      <c r="G13" s="1">
        <v>4100</v>
      </c>
      <c r="H13" s="1">
        <f t="shared" si="3"/>
        <v>9450500</v>
      </c>
      <c r="I13" s="1">
        <v>65359</v>
      </c>
      <c r="J13" s="1">
        <v>3055996</v>
      </c>
      <c r="K13" s="1">
        <v>348198</v>
      </c>
      <c r="L13" s="1">
        <v>292840</v>
      </c>
      <c r="M13">
        <f t="shared" si="4"/>
        <v>706397</v>
      </c>
      <c r="N13" s="1">
        <v>3055996</v>
      </c>
      <c r="O13">
        <f t="shared" si="0"/>
        <v>7.9349000000000003E-2</v>
      </c>
      <c r="P13">
        <f t="shared" si="1"/>
        <v>3.8134999999999999</v>
      </c>
      <c r="Q13">
        <f t="shared" si="2"/>
        <v>0.88561999999999996</v>
      </c>
    </row>
    <row r="14" spans="6:17" x14ac:dyDescent="0.3">
      <c r="F14" s="1">
        <v>2586</v>
      </c>
      <c r="G14" s="1">
        <v>4600</v>
      </c>
      <c r="H14" s="1">
        <f t="shared" si="3"/>
        <v>11895600</v>
      </c>
      <c r="I14" s="1">
        <v>79349</v>
      </c>
      <c r="J14" s="1">
        <v>3813500</v>
      </c>
      <c r="K14" s="1">
        <v>438041</v>
      </c>
      <c r="L14" s="1">
        <v>368230</v>
      </c>
      <c r="M14">
        <f t="shared" si="4"/>
        <v>885620</v>
      </c>
      <c r="N14" s="1">
        <v>3813500</v>
      </c>
      <c r="O14">
        <f t="shared" si="0"/>
        <v>9.7925999999999999E-2</v>
      </c>
      <c r="P14">
        <f t="shared" si="1"/>
        <v>4.5267590000000002</v>
      </c>
      <c r="Q14">
        <f t="shared" si="2"/>
        <v>1.050694</v>
      </c>
    </row>
    <row r="15" spans="6:17" x14ac:dyDescent="0.3">
      <c r="F15" s="1">
        <v>2867</v>
      </c>
      <c r="G15" s="1">
        <v>5100</v>
      </c>
      <c r="H15" s="1">
        <f t="shared" si="3"/>
        <v>14621700</v>
      </c>
      <c r="I15" s="1">
        <v>97926</v>
      </c>
      <c r="J15" s="1">
        <v>4526759</v>
      </c>
      <c r="K15" s="1">
        <v>516879</v>
      </c>
      <c r="L15" s="1">
        <v>435889</v>
      </c>
      <c r="M15">
        <f t="shared" si="4"/>
        <v>1050694</v>
      </c>
      <c r="N15" s="1">
        <v>4526759</v>
      </c>
    </row>
    <row r="16" spans="6:17" x14ac:dyDescent="0.3">
      <c r="F16" s="1">
        <v>5734</v>
      </c>
      <c r="G16" s="1">
        <v>10200</v>
      </c>
      <c r="H16" s="1" t="s">
        <v>10</v>
      </c>
    </row>
    <row r="19" spans="2:10" x14ac:dyDescent="0.3">
      <c r="F19" s="1"/>
      <c r="G19" s="1"/>
      <c r="H19" s="1"/>
      <c r="I19" s="1"/>
      <c r="J19" s="1"/>
    </row>
    <row r="20" spans="2:10" x14ac:dyDescent="0.3">
      <c r="F20" s="1"/>
      <c r="G20" s="1"/>
      <c r="H20" s="1"/>
      <c r="I20" s="1"/>
      <c r="J20" s="1"/>
    </row>
    <row r="24" spans="2:10" x14ac:dyDescent="0.3">
      <c r="C24" t="s">
        <v>14</v>
      </c>
      <c r="D24" t="s">
        <v>13</v>
      </c>
      <c r="E24" s="1" t="s">
        <v>2</v>
      </c>
      <c r="F24" s="1" t="s">
        <v>15</v>
      </c>
      <c r="G24" s="1" t="s">
        <v>16</v>
      </c>
      <c r="H24" s="1" t="s">
        <v>17</v>
      </c>
      <c r="I24" s="1" t="s">
        <v>18</v>
      </c>
    </row>
    <row r="25" spans="2:10" x14ac:dyDescent="0.3">
      <c r="B25">
        <f>10^-6</f>
        <v>9.9999999999999995E-7</v>
      </c>
      <c r="C25">
        <f>1/(800*10^6)</f>
        <v>1.25E-9</v>
      </c>
      <c r="D25">
        <f>1/(50*10^6)</f>
        <v>2E-8</v>
      </c>
      <c r="E25" s="1">
        <v>5600</v>
      </c>
      <c r="F25" s="1">
        <f>M4*$B$25</f>
        <v>1.026E-3</v>
      </c>
      <c r="G25" s="1">
        <f>N4*$B$25</f>
        <v>1.6249999999999999E-3</v>
      </c>
      <c r="H25">
        <f>F25/(E25*D25)</f>
        <v>9.1607142857142865</v>
      </c>
      <c r="I25">
        <f>G25/(E25*C25)</f>
        <v>232.14285714285714</v>
      </c>
    </row>
    <row r="26" spans="2:10" x14ac:dyDescent="0.3">
      <c r="C26">
        <f t="shared" ref="C26:C36" si="5">1/(800*10^6)</f>
        <v>1.25E-9</v>
      </c>
      <c r="D26">
        <f t="shared" ref="D26:D36" si="6">1/(50*10^6)</f>
        <v>2E-8</v>
      </c>
      <c r="E26" s="1">
        <v>202800</v>
      </c>
      <c r="F26" s="1">
        <f t="shared" ref="F26:F36" si="7">M5*$B$25</f>
        <v>1.5590999999999999E-2</v>
      </c>
      <c r="G26" s="1">
        <f t="shared" ref="G26:G36" si="8">N5*$B$25</f>
        <v>6.2073999999999997E-2</v>
      </c>
      <c r="H26">
        <f t="shared" ref="H26:H36" si="9">F26/(E26*D26)</f>
        <v>3.8439349112426036</v>
      </c>
      <c r="I26">
        <f t="shared" ref="I26:I36" si="10">G26/(E26*C26)</f>
        <v>244.86785009861933</v>
      </c>
    </row>
    <row r="27" spans="2:10" x14ac:dyDescent="0.3">
      <c r="C27">
        <f t="shared" si="5"/>
        <v>1.25E-9</v>
      </c>
      <c r="D27">
        <f t="shared" si="6"/>
        <v>2E-8</v>
      </c>
      <c r="E27" s="1">
        <v>529620</v>
      </c>
      <c r="F27" s="1">
        <f t="shared" si="7"/>
        <v>3.8615999999999998E-2</v>
      </c>
      <c r="G27" s="1">
        <f t="shared" si="8"/>
        <v>0.15807099999999999</v>
      </c>
      <c r="H27">
        <f t="shared" si="9"/>
        <v>3.6456327177976662</v>
      </c>
      <c r="I27">
        <f t="shared" si="10"/>
        <v>238.76892866583586</v>
      </c>
    </row>
    <row r="28" spans="2:10" x14ac:dyDescent="0.3">
      <c r="C28">
        <f t="shared" si="5"/>
        <v>1.25E-9</v>
      </c>
      <c r="D28">
        <f t="shared" si="6"/>
        <v>2E-8</v>
      </c>
      <c r="E28" s="1">
        <v>680900</v>
      </c>
      <c r="F28" s="1">
        <f t="shared" si="7"/>
        <v>5.0368999999999997E-2</v>
      </c>
      <c r="G28" s="1">
        <f t="shared" si="8"/>
        <v>0.212759</v>
      </c>
      <c r="H28">
        <f t="shared" si="9"/>
        <v>3.6987075928917608</v>
      </c>
      <c r="I28">
        <f t="shared" si="10"/>
        <v>249.973858128947</v>
      </c>
    </row>
    <row r="29" spans="2:10" x14ac:dyDescent="0.3">
      <c r="C29">
        <f t="shared" si="5"/>
        <v>1.25E-9</v>
      </c>
      <c r="D29">
        <f t="shared" si="6"/>
        <v>2E-8</v>
      </c>
      <c r="E29" s="1">
        <v>1440000</v>
      </c>
      <c r="F29" s="1">
        <f t="shared" si="7"/>
        <v>0.10703499999999999</v>
      </c>
      <c r="G29" s="1">
        <f t="shared" si="8"/>
        <v>0.44559399999999999</v>
      </c>
      <c r="H29">
        <f t="shared" si="9"/>
        <v>3.7164930555555555</v>
      </c>
      <c r="I29">
        <f t="shared" si="10"/>
        <v>247.55222222222221</v>
      </c>
    </row>
    <row r="30" spans="2:10" x14ac:dyDescent="0.3">
      <c r="C30">
        <f t="shared" si="5"/>
        <v>1.25E-9</v>
      </c>
      <c r="D30">
        <f t="shared" si="6"/>
        <v>2E-8</v>
      </c>
      <c r="E30" s="1">
        <v>2480100</v>
      </c>
      <c r="F30" s="1">
        <f t="shared" si="7"/>
        <v>0.179338</v>
      </c>
      <c r="G30" s="1">
        <f t="shared" si="8"/>
        <v>0.76140099999999999</v>
      </c>
      <c r="H30">
        <f t="shared" si="9"/>
        <v>3.6155396959800008</v>
      </c>
      <c r="I30">
        <f t="shared" si="10"/>
        <v>245.60332244667552</v>
      </c>
    </row>
    <row r="31" spans="2:10" x14ac:dyDescent="0.3">
      <c r="C31">
        <f t="shared" si="5"/>
        <v>1.25E-9</v>
      </c>
      <c r="D31">
        <f t="shared" si="6"/>
        <v>2E-8</v>
      </c>
      <c r="E31" s="1">
        <v>3801200</v>
      </c>
      <c r="F31" s="1">
        <f t="shared" si="7"/>
        <v>0.27699299999999999</v>
      </c>
      <c r="G31" s="1">
        <f t="shared" si="8"/>
        <v>1.206229</v>
      </c>
      <c r="H31">
        <f t="shared" si="9"/>
        <v>3.6434941597390291</v>
      </c>
      <c r="I31">
        <f t="shared" si="10"/>
        <v>253.86278017468166</v>
      </c>
    </row>
    <row r="32" spans="2:10" x14ac:dyDescent="0.3">
      <c r="C32">
        <f t="shared" si="5"/>
        <v>1.25E-9</v>
      </c>
      <c r="D32">
        <f t="shared" si="6"/>
        <v>2E-8</v>
      </c>
      <c r="E32" s="1">
        <v>5403300</v>
      </c>
      <c r="F32" s="1">
        <f t="shared" si="7"/>
        <v>0.40316199999999996</v>
      </c>
      <c r="G32" s="1">
        <f t="shared" si="8"/>
        <v>1.725795</v>
      </c>
      <c r="H32">
        <f t="shared" si="9"/>
        <v>3.7307016082764237</v>
      </c>
      <c r="I32">
        <f t="shared" si="10"/>
        <v>255.51718394314585</v>
      </c>
    </row>
    <row r="33" spans="3:9" x14ac:dyDescent="0.3">
      <c r="C33">
        <f t="shared" si="5"/>
        <v>1.25E-9</v>
      </c>
      <c r="D33">
        <f t="shared" si="6"/>
        <v>2E-8</v>
      </c>
      <c r="E33" s="1">
        <v>7286400</v>
      </c>
      <c r="F33" s="1">
        <f t="shared" si="7"/>
        <v>0.54291</v>
      </c>
      <c r="G33" s="1">
        <f t="shared" si="8"/>
        <v>2.2972319999999997</v>
      </c>
      <c r="H33">
        <f t="shared" si="9"/>
        <v>3.7255023056653491</v>
      </c>
      <c r="I33">
        <f t="shared" si="10"/>
        <v>252.22134387351775</v>
      </c>
    </row>
    <row r="34" spans="3:9" x14ac:dyDescent="0.3">
      <c r="C34">
        <f t="shared" si="5"/>
        <v>1.25E-9</v>
      </c>
      <c r="D34">
        <f t="shared" si="6"/>
        <v>2E-8</v>
      </c>
      <c r="E34" s="1">
        <v>9450500</v>
      </c>
      <c r="F34" s="1">
        <f t="shared" si="7"/>
        <v>0.70639699999999994</v>
      </c>
      <c r="G34" s="1">
        <f t="shared" si="8"/>
        <v>3.0559959999999999</v>
      </c>
      <c r="H34">
        <f t="shared" si="9"/>
        <v>3.7373525210306329</v>
      </c>
      <c r="I34">
        <f t="shared" si="10"/>
        <v>258.69496852018409</v>
      </c>
    </row>
    <row r="35" spans="3:9" x14ac:dyDescent="0.3">
      <c r="C35">
        <f t="shared" si="5"/>
        <v>1.25E-9</v>
      </c>
      <c r="D35">
        <f t="shared" si="6"/>
        <v>2E-8</v>
      </c>
      <c r="E35" s="1">
        <v>11895600</v>
      </c>
      <c r="F35" s="1">
        <f t="shared" si="7"/>
        <v>0.88561999999999996</v>
      </c>
      <c r="G35" s="1">
        <f t="shared" si="8"/>
        <v>3.8134999999999999</v>
      </c>
      <c r="H35">
        <f t="shared" si="9"/>
        <v>3.7224688119977132</v>
      </c>
      <c r="I35">
        <f t="shared" si="10"/>
        <v>256.46457513702541</v>
      </c>
    </row>
    <row r="36" spans="3:9" x14ac:dyDescent="0.3">
      <c r="C36">
        <f t="shared" si="5"/>
        <v>1.25E-9</v>
      </c>
      <c r="D36">
        <f t="shared" si="6"/>
        <v>2E-8</v>
      </c>
      <c r="E36" s="1">
        <v>14621700</v>
      </c>
      <c r="F36" s="1">
        <f t="shared" si="7"/>
        <v>1.050694</v>
      </c>
      <c r="G36" s="1">
        <f t="shared" si="8"/>
        <v>4.5267590000000002</v>
      </c>
      <c r="H36">
        <f t="shared" si="9"/>
        <v>3.5929269510385247</v>
      </c>
      <c r="I36">
        <f t="shared" si="10"/>
        <v>247.67347162094694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Gaëtan Bouchy</dc:creator>
  <cp:lastModifiedBy>Gaëtan Bouchy</cp:lastModifiedBy>
  <dcterms:created xsi:type="dcterms:W3CDTF">2023-01-12T14:56:18Z</dcterms:created>
  <dcterms:modified xsi:type="dcterms:W3CDTF">2023-01-20T22:49:25Z</dcterms:modified>
</cp:coreProperties>
</file>